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vtdesjardins-my.sharepoint.com/personal/charles-antoine_theriault_desjardins_com/Documents/Desktop/"/>
    </mc:Choice>
  </mc:AlternateContent>
  <xr:revisionPtr revIDLastSave="180" documentId="8_{9F3E2512-0FD8-4E00-8E79-CD406C904A4A}" xr6:coauthVersionLast="47" xr6:coauthVersionMax="47" xr10:uidLastSave="{8780166E-FBF3-48BE-90BA-97B2514C195C}"/>
  <bookViews>
    <workbookView xWindow="28740" yWindow="-3615" windowWidth="29430" windowHeight="19125" xr2:uid="{9B0A0F02-1643-46DF-8861-648101CFFC73}"/>
  </bookViews>
  <sheets>
    <sheet name="Formulaire de commande" sheetId="1" r:id="rId1"/>
    <sheet name="Feuil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5" i="1" l="1"/>
  <c r="U35" i="1"/>
  <c r="U33" i="1"/>
  <c r="U31" i="1"/>
  <c r="U29" i="1"/>
  <c r="U21" i="1"/>
  <c r="U19" i="1"/>
  <c r="U18" i="1"/>
  <c r="U16" i="1"/>
  <c r="U15" i="1"/>
  <c r="U13" i="1"/>
  <c r="U12" i="1"/>
  <c r="F37" i="1"/>
  <c r="U37" i="1" s="1"/>
  <c r="U23" i="1"/>
  <c r="U27" i="1"/>
  <c r="U39" i="1" l="1"/>
</calcChain>
</file>

<file path=xl/sharedStrings.xml><?xml version="1.0" encoding="utf-8"?>
<sst xmlns="http://schemas.openxmlformats.org/spreadsheetml/2006/main" count="255" uniqueCount="178">
  <si>
    <t>Quantité</t>
  </si>
  <si>
    <t>Modèle</t>
  </si>
  <si>
    <t>Marque</t>
  </si>
  <si>
    <t>Prix à l'unité</t>
  </si>
  <si>
    <t>Couleur</t>
  </si>
  <si>
    <t>XS</t>
  </si>
  <si>
    <t>S</t>
  </si>
  <si>
    <t>M</t>
  </si>
  <si>
    <t>L</t>
  </si>
  <si>
    <t>XL</t>
  </si>
  <si>
    <t>XXL</t>
  </si>
  <si>
    <t>XXXL</t>
  </si>
  <si>
    <t>Sexe</t>
  </si>
  <si>
    <t>Gros design devant</t>
  </si>
  <si>
    <t>Gros design derrière</t>
  </si>
  <si>
    <t>Total</t>
  </si>
  <si>
    <t>Manche droite</t>
  </si>
  <si>
    <t>Manche gauche</t>
  </si>
  <si>
    <t>T-shirt de base</t>
  </si>
  <si>
    <t>Gildan</t>
  </si>
  <si>
    <t>T-Shirt Premium</t>
  </si>
  <si>
    <t>Bella+Canva</t>
  </si>
  <si>
    <t>T-Shirt sport</t>
  </si>
  <si>
    <t>Core365</t>
  </si>
  <si>
    <t>T-Shirt Crop top</t>
  </si>
  <si>
    <t>Next Level</t>
  </si>
  <si>
    <t>Unisexe</t>
  </si>
  <si>
    <t>Homme</t>
  </si>
  <si>
    <t>Femme</t>
  </si>
  <si>
    <t>T-shirt Long sleeves</t>
  </si>
  <si>
    <t>Crewneck</t>
  </si>
  <si>
    <t>Hoodie</t>
  </si>
  <si>
    <t>Zipped hoodie</t>
  </si>
  <si>
    <t>Tuque</t>
  </si>
  <si>
    <t>Yupoong</t>
  </si>
  <si>
    <t>Tablier</t>
  </si>
  <si>
    <t>EgotierPro</t>
  </si>
  <si>
    <t>Tote bag</t>
  </si>
  <si>
    <t>Design poitrine gauche</t>
  </si>
  <si>
    <t>Design poitrine droit</t>
  </si>
  <si>
    <t>Extra</t>
  </si>
  <si>
    <t>Inscrire le nombre de morceux pour chaque grandeur</t>
  </si>
  <si>
    <t>Choisir les placements désirés</t>
  </si>
  <si>
    <t>Choix des morceaux</t>
  </si>
  <si>
    <t>N/A</t>
  </si>
  <si>
    <t>Nom:</t>
  </si>
  <si>
    <t>Nom de compagnie (facultatif):</t>
  </si>
  <si>
    <t>Adresse:</t>
  </si>
  <si>
    <t>Courriel:</t>
  </si>
  <si>
    <t>Téléphone:</t>
  </si>
  <si>
    <t>Pour passer la commande, nous avons de besoin:</t>
  </si>
  <si>
    <t>Tes logos/images/fichiers en JPEG ou PNG</t>
  </si>
  <si>
    <t xml:space="preserve">Argent comptant ou virement Interac au </t>
  </si>
  <si>
    <t>Ce bon de commande rempli</t>
  </si>
  <si>
    <t xml:space="preserve">Merci d'avoir fait confiance à Impressed pour tes morceaux personnalisés! </t>
  </si>
  <si>
    <t>Antique Cherry Red</t>
  </si>
  <si>
    <t>#971B2F</t>
  </si>
  <si>
    <t>Antique Sapphire</t>
  </si>
  <si>
    <t>#00A9B7</t>
  </si>
  <si>
    <t>#D0D0CE</t>
  </si>
  <si>
    <t>Black</t>
  </si>
  <si>
    <t>Cardinal Red</t>
  </si>
  <si>
    <t>#6A1A2C</t>
  </si>
  <si>
    <t>Carolina Blue</t>
  </si>
  <si>
    <t>#70B2E2</t>
  </si>
  <si>
    <t>Charcoal</t>
  </si>
  <si>
    <t>#4B4F54</t>
  </si>
  <si>
    <t>Dark Chocolate</t>
  </si>
  <si>
    <t>#3B2A26</t>
  </si>
  <si>
    <t>Dark Heather</t>
  </si>
  <si>
    <t>#4A525A</t>
  </si>
  <si>
    <t>Forest Green</t>
  </si>
  <si>
    <t>#1C3C34</t>
  </si>
  <si>
    <t>Graphite Heather</t>
  </si>
  <si>
    <t>#7D2027</t>
  </si>
  <si>
    <t>Indigo Blue</t>
  </si>
  <si>
    <t>Irish Green</t>
  </si>
  <si>
    <t>#009A44</t>
  </si>
  <si>
    <t>Kiwi</t>
  </si>
  <si>
    <t>Light Blue</t>
  </si>
  <si>
    <t>#A7C6DA</t>
  </si>
  <si>
    <t>Light Pink</t>
  </si>
  <si>
    <t>#F7D1D5</t>
  </si>
  <si>
    <t>Lime</t>
  </si>
  <si>
    <t>#C4DF9B</t>
  </si>
  <si>
    <t>Navy</t>
  </si>
  <si>
    <t>#1A2F5C</t>
  </si>
  <si>
    <t>Orange</t>
  </si>
  <si>
    <t>#FF6A13</t>
  </si>
  <si>
    <t>Purple</t>
  </si>
  <si>
    <t>Red</t>
  </si>
  <si>
    <t>Royal</t>
  </si>
  <si>
    <t>#005DAA</t>
  </si>
  <si>
    <t>Sand</t>
  </si>
  <si>
    <t>#D2C2AC</t>
  </si>
  <si>
    <t>Sapphire</t>
  </si>
  <si>
    <t>#003DA5</t>
  </si>
  <si>
    <t>Sport Grey</t>
  </si>
  <si>
    <t>#A7A8AA</t>
  </si>
  <si>
    <t>#FF8200</t>
  </si>
  <si>
    <t>White</t>
  </si>
  <si>
    <t>#FFFFFF</t>
  </si>
  <si>
    <t>Acid Green</t>
  </si>
  <si>
    <t>#B0BF1A</t>
  </si>
  <si>
    <t>#000000</t>
  </si>
  <si>
    <t>Burgundy</t>
  </si>
  <si>
    <t>#800020</t>
  </si>
  <si>
    <t>#FFC72C</t>
  </si>
  <si>
    <t>Campus Orange</t>
  </si>
  <si>
    <t>Campus Purple</t>
  </si>
  <si>
    <t>#4B2E83</t>
  </si>
  <si>
    <t>Carbon</t>
  </si>
  <si>
    <t>#3A3A3A</t>
  </si>
  <si>
    <t>Carbon Heather</t>
  </si>
  <si>
    <t>#5B5B5B</t>
  </si>
  <si>
    <t>Charity Pink</t>
  </si>
  <si>
    <t>#FFB6C1</t>
  </si>
  <si>
    <t>Classic Navy</t>
  </si>
  <si>
    <t>#000080</t>
  </si>
  <si>
    <t>Classic Red</t>
  </si>
  <si>
    <t>#C8102E</t>
  </si>
  <si>
    <t>Electric Blue</t>
  </si>
  <si>
    <t>#7DF9FF</t>
  </si>
  <si>
    <t>Forest</t>
  </si>
  <si>
    <t>#228B22</t>
  </si>
  <si>
    <t>Platinum</t>
  </si>
  <si>
    <t>#E5E4E2</t>
  </si>
  <si>
    <t>Safety Yellow</t>
  </si>
  <si>
    <t>Ash</t>
  </si>
  <si>
    <t>Cherry Red</t>
  </si>
  <si>
    <t>#BB2F3A</t>
  </si>
  <si>
    <t>Garnet</t>
  </si>
  <si>
    <t>#7C2348</t>
  </si>
  <si>
    <t>Gold</t>
  </si>
  <si>
    <t>#61666A</t>
  </si>
  <si>
    <t>Heather Sport Dark Green</t>
  </si>
  <si>
    <t>#375A4E</t>
  </si>
  <si>
    <t>Heather Sport Dark Maroon</t>
  </si>
  <si>
    <t>Heather Sport Indigo Blue</t>
  </si>
  <si>
    <t>#465A65</t>
  </si>
  <si>
    <t>Heather Sport Navy</t>
  </si>
  <si>
    <t>#394256</t>
  </si>
  <si>
    <t>Heather Sport Royal</t>
  </si>
  <si>
    <t>#3D6F8C</t>
  </si>
  <si>
    <t>Heliconia</t>
  </si>
  <si>
    <t>#F4368A</t>
  </si>
  <si>
    <t>#4B5A67</t>
  </si>
  <si>
    <t>#B4D153</t>
  </si>
  <si>
    <t>#5A2F6F</t>
  </si>
  <si>
    <t>Safety Orange</t>
  </si>
  <si>
    <t>#FF7900</t>
  </si>
  <si>
    <t>Safety Pink</t>
  </si>
  <si>
    <t>#FF5C8D</t>
  </si>
  <si>
    <t>Tous</t>
  </si>
  <si>
    <t>Sport</t>
  </si>
  <si>
    <t>Dark Grey</t>
  </si>
  <si>
    <t>#4B4B4B</t>
  </si>
  <si>
    <t>#FFD300</t>
  </si>
  <si>
    <t>Heather</t>
  </si>
  <si>
    <t>#A8A8A8</t>
  </si>
  <si>
    <t>Olive</t>
  </si>
  <si>
    <t>#6B8E23</t>
  </si>
  <si>
    <t>Tote</t>
  </si>
  <si>
    <t>Fuchsia</t>
  </si>
  <si>
    <t>#FF00FF</t>
  </si>
  <si>
    <t>Naturel</t>
  </si>
  <si>
    <t>#F5F5DC</t>
  </si>
  <si>
    <t>#FF0000</t>
  </si>
  <si>
    <t>Yellow</t>
  </si>
  <si>
    <t>#FFFF00</t>
  </si>
  <si>
    <t>Noir</t>
  </si>
  <si>
    <t>Crop</t>
  </si>
  <si>
    <t>Lavender</t>
  </si>
  <si>
    <t>#E6E6FA</t>
  </si>
  <si>
    <t>Antique Gold</t>
  </si>
  <si>
    <t>#CDA434</t>
  </si>
  <si>
    <t>Desert Pink</t>
  </si>
  <si>
    <t>#F8B195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</si>
</sst>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#,##0\ &quot;$&quot;_);[Red]\(#,##0\ &quot;$&quot;\)"/>
    <numFmt numFmtId="8" formatCode="#,##0.00\ &quot;$&quot;_);[Red]\(#,##0.00\ &quot;$&quot;\)"/>
    <numFmt numFmtId="44" formatCode="_ * #,##0.00_)\ &quot;$&quot;_ ;_ * \(#,##0.00\)\ &quot;$&quot;_ ;_ * &quot;-&quot;??_)\ &quot;$&quot;_ ;_ @_ 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Calibri"/>
      <family val="2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424242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B2A26"/>
        <bgColor indexed="64"/>
      </patternFill>
    </fill>
    <fill>
      <patternFill patternType="solid">
        <fgColor rgb="FF4A525A"/>
        <bgColor indexed="64"/>
      </patternFill>
    </fill>
    <fill>
      <patternFill patternType="solid">
        <fgColor rgb="FF7C2348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F4368A"/>
        <bgColor indexed="64"/>
      </patternFill>
    </fill>
    <fill>
      <patternFill patternType="solid">
        <fgColor rgb="FF009A44"/>
        <bgColor indexed="64"/>
      </patternFill>
    </fill>
    <fill>
      <patternFill patternType="solid">
        <fgColor rgb="FFA7C6DA"/>
        <bgColor indexed="64"/>
      </patternFill>
    </fill>
    <fill>
      <patternFill patternType="solid">
        <fgColor rgb="FFC4DF9B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2">
    <xf numFmtId="0" fontId="0" fillId="0" borderId="0" xfId="0"/>
    <xf numFmtId="44" fontId="0" fillId="0" borderId="0" xfId="1" applyFont="1" applyBorder="1"/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4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5" fillId="7" borderId="0" xfId="0" applyFont="1" applyFill="1" applyAlignment="1">
      <alignment vertical="center"/>
    </xf>
    <xf numFmtId="0" fontId="5" fillId="8" borderId="0" xfId="0" applyFont="1" applyFill="1" applyAlignment="1">
      <alignment vertical="center"/>
    </xf>
    <xf numFmtId="0" fontId="5" fillId="9" borderId="0" xfId="0" applyFont="1" applyFill="1" applyAlignment="1">
      <alignment vertical="center"/>
    </xf>
    <xf numFmtId="0" fontId="5" fillId="10" borderId="0" xfId="0" applyFont="1" applyFill="1" applyAlignment="1">
      <alignment vertical="center"/>
    </xf>
    <xf numFmtId="0" fontId="5" fillId="11" borderId="0" xfId="0" applyFont="1" applyFill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6" fontId="6" fillId="2" borderId="1" xfId="0" applyNumberFormat="1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44" fontId="6" fillId="2" borderId="1" xfId="1" applyFont="1" applyFill="1" applyBorder="1" applyAlignment="1">
      <alignment horizontal="center" vertical="center"/>
    </xf>
    <xf numFmtId="44" fontId="7" fillId="3" borderId="1" xfId="1" applyFont="1" applyFill="1" applyBorder="1" applyAlignment="1">
      <alignment horizontal="center" vertical="center"/>
    </xf>
    <xf numFmtId="8" fontId="8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4" fontId="9" fillId="2" borderId="1" xfId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4" fontId="6" fillId="0" borderId="1" xfId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8" fontId="8" fillId="2" borderId="1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ont="1"/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</cellXfs>
  <cellStyles count="2">
    <cellStyle name="Monétaire" xfId="1" builtinId="4"/>
    <cellStyle name="Normal" xfId="0" builtinId="0"/>
  </cellStyles>
  <dxfs count="3">
    <dxf>
      <font>
        <color rgb="FF000080"/>
      </font>
    </dxf>
    <dxf>
      <font>
        <color rgb="FF1A2F5C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A1A2C"/>
      <color rgb="FF1A2F5C"/>
      <color rgb="FF0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229145</xdr:colOff>
      <xdr:row>2</xdr:row>
      <xdr:rowOff>54426</xdr:rowOff>
    </xdr:from>
    <xdr:to>
      <xdr:col>6</xdr:col>
      <xdr:colOff>1425633</xdr:colOff>
      <xdr:row>6</xdr:row>
      <xdr:rowOff>288911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EA781D5-5A28-7D68-DD0D-D6FBBD6F9B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7833" b="33580"/>
        <a:stretch/>
      </xdr:blipFill>
      <xdr:spPr>
        <a:xfrm>
          <a:off x="1510690" y="885699"/>
          <a:ext cx="6707480" cy="189322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A7AA9-C5B6-4331-B8CD-2F3358199050}">
  <sheetPr codeName="Feuil1"/>
  <dimension ref="B3:U45"/>
  <sheetViews>
    <sheetView showGridLines="0" tabSelected="1" topLeftCell="A4" zoomScale="55" zoomScaleNormal="55" workbookViewId="0">
      <selection activeCell="AC20" sqref="AC20"/>
    </sheetView>
  </sheetViews>
  <sheetFormatPr baseColWidth="10" defaultRowHeight="33" customHeight="1" x14ac:dyDescent="0.3"/>
  <cols>
    <col min="1" max="1" width="18.5546875" customWidth="1"/>
    <col min="2" max="2" width="20.6640625" customWidth="1"/>
    <col min="3" max="6" width="15" customWidth="1"/>
    <col min="7" max="7" width="32.21875" customWidth="1"/>
    <col min="8" max="21" width="15" customWidth="1"/>
  </cols>
  <sheetData>
    <row r="3" spans="2:21" ht="33" customHeight="1" x14ac:dyDescent="0.3">
      <c r="I3" s="28" t="s">
        <v>45</v>
      </c>
      <c r="J3" s="28"/>
      <c r="K3" s="28"/>
      <c r="L3" s="28"/>
      <c r="M3" s="28"/>
      <c r="N3" s="28"/>
      <c r="O3" s="29"/>
      <c r="P3" s="30" t="s">
        <v>50</v>
      </c>
      <c r="Q3" s="30"/>
      <c r="R3" s="30"/>
      <c r="S3" s="30"/>
    </row>
    <row r="4" spans="2:21" ht="33" customHeight="1" x14ac:dyDescent="0.3">
      <c r="I4" s="28" t="s">
        <v>46</v>
      </c>
      <c r="J4" s="28"/>
      <c r="K4" s="28"/>
      <c r="L4" s="28"/>
      <c r="M4" s="28"/>
      <c r="N4" s="28"/>
      <c r="O4" s="29"/>
      <c r="P4" s="31" t="b">
        <v>0</v>
      </c>
      <c r="Q4" s="30" t="s">
        <v>53</v>
      </c>
      <c r="R4" s="30"/>
      <c r="S4" s="30"/>
    </row>
    <row r="5" spans="2:21" ht="33" customHeight="1" x14ac:dyDescent="0.3">
      <c r="I5" s="28" t="s">
        <v>47</v>
      </c>
      <c r="J5" s="28"/>
      <c r="K5" s="28"/>
      <c r="L5" s="28"/>
      <c r="M5" s="28"/>
      <c r="N5" s="28"/>
      <c r="O5" s="29"/>
      <c r="P5" s="31" t="b">
        <v>0</v>
      </c>
      <c r="Q5" s="30" t="s">
        <v>51</v>
      </c>
      <c r="R5" s="30"/>
      <c r="S5" s="30"/>
    </row>
    <row r="6" spans="2:21" ht="33" customHeight="1" x14ac:dyDescent="0.3">
      <c r="I6" s="28" t="s">
        <v>48</v>
      </c>
      <c r="J6" s="28"/>
      <c r="K6" s="28"/>
      <c r="L6" s="28"/>
      <c r="M6" s="28"/>
      <c r="N6" s="28"/>
      <c r="O6" s="29"/>
      <c r="P6" s="31" t="b">
        <v>0</v>
      </c>
      <c r="Q6" s="30" t="s">
        <v>52</v>
      </c>
      <c r="R6" s="30"/>
      <c r="S6" s="30"/>
    </row>
    <row r="7" spans="2:21" ht="33" customHeight="1" x14ac:dyDescent="0.3">
      <c r="I7" s="28" t="s">
        <v>49</v>
      </c>
      <c r="J7" s="28"/>
      <c r="K7" s="28"/>
      <c r="L7" s="28"/>
      <c r="M7" s="28"/>
      <c r="N7" s="28"/>
      <c r="O7" s="29"/>
      <c r="P7" s="29"/>
      <c r="Q7" s="29"/>
      <c r="R7" s="29"/>
      <c r="S7" s="29"/>
    </row>
    <row r="8" spans="2:21" ht="33" customHeight="1" x14ac:dyDescent="0.3"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</row>
    <row r="10" spans="2:21" ht="33" customHeight="1" x14ac:dyDescent="0.3">
      <c r="B10" s="7" t="s">
        <v>43</v>
      </c>
      <c r="C10" s="7"/>
      <c r="D10" s="7"/>
      <c r="E10" s="7"/>
      <c r="F10" s="7"/>
      <c r="G10" s="7"/>
      <c r="H10" s="7" t="s">
        <v>41</v>
      </c>
      <c r="I10" s="7"/>
      <c r="J10" s="7"/>
      <c r="K10" s="7"/>
      <c r="L10" s="7"/>
      <c r="M10" s="7"/>
      <c r="N10" s="7"/>
      <c r="O10" s="7" t="s">
        <v>42</v>
      </c>
      <c r="P10" s="7"/>
      <c r="Q10" s="7"/>
      <c r="R10" s="7"/>
      <c r="S10" s="7"/>
      <c r="T10" s="7"/>
      <c r="U10" s="2"/>
    </row>
    <row r="11" spans="2:21" ht="96.6" customHeight="1" x14ac:dyDescent="0.3">
      <c r="B11" s="3" t="s">
        <v>1</v>
      </c>
      <c r="C11" s="3" t="s">
        <v>2</v>
      </c>
      <c r="D11" s="3" t="s">
        <v>12</v>
      </c>
      <c r="E11" s="3" t="s">
        <v>3</v>
      </c>
      <c r="F11" s="3" t="s">
        <v>0</v>
      </c>
      <c r="G11" s="3" t="s">
        <v>4</v>
      </c>
      <c r="H11" s="3" t="s">
        <v>5</v>
      </c>
      <c r="I11" s="3" t="s">
        <v>6</v>
      </c>
      <c r="J11" s="3" t="s">
        <v>7</v>
      </c>
      <c r="K11" s="3" t="s">
        <v>8</v>
      </c>
      <c r="L11" s="3" t="s">
        <v>9</v>
      </c>
      <c r="M11" s="3" t="s">
        <v>10</v>
      </c>
      <c r="N11" s="3" t="s">
        <v>11</v>
      </c>
      <c r="O11" s="3" t="s">
        <v>13</v>
      </c>
      <c r="P11" s="3" t="s">
        <v>14</v>
      </c>
      <c r="Q11" s="3" t="s">
        <v>38</v>
      </c>
      <c r="R11" s="3" t="s">
        <v>39</v>
      </c>
      <c r="S11" s="3" t="s">
        <v>17</v>
      </c>
      <c r="T11" s="3" t="s">
        <v>16</v>
      </c>
      <c r="U11" s="3" t="s">
        <v>15</v>
      </c>
    </row>
    <row r="12" spans="2:21" ht="33" customHeight="1" x14ac:dyDescent="0.3">
      <c r="B12" s="16" t="s">
        <v>18</v>
      </c>
      <c r="C12" s="16" t="s">
        <v>19</v>
      </c>
      <c r="D12" s="16" t="s">
        <v>27</v>
      </c>
      <c r="E12" s="17">
        <v>10</v>
      </c>
      <c r="F12" s="16"/>
      <c r="G12" s="18"/>
      <c r="H12" s="16"/>
      <c r="I12" s="16"/>
      <c r="J12" s="16"/>
      <c r="K12" s="16"/>
      <c r="L12" s="16"/>
      <c r="M12" s="16"/>
      <c r="N12" s="16"/>
      <c r="O12" s="19"/>
      <c r="P12" s="19"/>
      <c r="Q12" s="19"/>
      <c r="R12" s="19"/>
      <c r="S12" s="20" t="s">
        <v>44</v>
      </c>
      <c r="T12" s="20" t="s">
        <v>44</v>
      </c>
      <c r="U12" s="21">
        <f>(F12*E12+O12*F12+P12*F12+Q12*F12+R12*F12)</f>
        <v>0</v>
      </c>
    </row>
    <row r="13" spans="2:21" ht="33" customHeight="1" x14ac:dyDescent="0.3">
      <c r="B13" s="16"/>
      <c r="C13" s="16"/>
      <c r="D13" s="16" t="s">
        <v>28</v>
      </c>
      <c r="E13" s="17">
        <v>10</v>
      </c>
      <c r="F13" s="16"/>
      <c r="G13" s="18"/>
      <c r="H13" s="16"/>
      <c r="I13" s="16"/>
      <c r="J13" s="16"/>
      <c r="K13" s="16"/>
      <c r="L13" s="16"/>
      <c r="M13" s="16"/>
      <c r="N13" s="16"/>
      <c r="O13" s="19"/>
      <c r="P13" s="19"/>
      <c r="Q13" s="19"/>
      <c r="R13" s="19"/>
      <c r="S13" s="20" t="s">
        <v>44</v>
      </c>
      <c r="T13" s="20" t="s">
        <v>44</v>
      </c>
      <c r="U13" s="21">
        <f>(F13*E13+O13*F13+P13*F13+Q13*F13+R13*F13)</f>
        <v>0</v>
      </c>
    </row>
    <row r="14" spans="2:21" ht="33" customHeight="1" x14ac:dyDescent="0.3"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2:21" ht="33" customHeight="1" x14ac:dyDescent="0.3">
      <c r="B15" s="16" t="s">
        <v>20</v>
      </c>
      <c r="C15" s="16" t="s">
        <v>21</v>
      </c>
      <c r="D15" s="16" t="s">
        <v>27</v>
      </c>
      <c r="E15" s="17">
        <v>14</v>
      </c>
      <c r="F15" s="16"/>
      <c r="G15" s="18"/>
      <c r="H15" s="16"/>
      <c r="I15" s="16"/>
      <c r="J15" s="16"/>
      <c r="K15" s="16"/>
      <c r="L15" s="16"/>
      <c r="M15" s="16"/>
      <c r="N15" s="16"/>
      <c r="O15" s="19"/>
      <c r="P15" s="19"/>
      <c r="Q15" s="19"/>
      <c r="R15" s="19"/>
      <c r="S15" s="20" t="s">
        <v>44</v>
      </c>
      <c r="T15" s="20" t="s">
        <v>44</v>
      </c>
      <c r="U15" s="21">
        <f>(F15*E15+O15*F15+P15*F15+Q15*F15+R15*F15)</f>
        <v>0</v>
      </c>
    </row>
    <row r="16" spans="2:21" ht="33" customHeight="1" x14ac:dyDescent="0.3">
      <c r="B16" s="16"/>
      <c r="C16" s="16"/>
      <c r="D16" s="16" t="s">
        <v>28</v>
      </c>
      <c r="E16" s="17">
        <v>14</v>
      </c>
      <c r="F16" s="16"/>
      <c r="G16" s="18"/>
      <c r="H16" s="16"/>
      <c r="I16" s="16"/>
      <c r="J16" s="16"/>
      <c r="K16" s="16"/>
      <c r="L16" s="16"/>
      <c r="M16" s="16"/>
      <c r="N16" s="16"/>
      <c r="O16" s="19"/>
      <c r="P16" s="19"/>
      <c r="Q16" s="19"/>
      <c r="R16" s="19"/>
      <c r="S16" s="20" t="s">
        <v>44</v>
      </c>
      <c r="T16" s="20" t="s">
        <v>44</v>
      </c>
      <c r="U16" s="21">
        <f>(F16*E16+O16*F16+P16*F16+Q16*F16+R16*F16)</f>
        <v>0</v>
      </c>
    </row>
    <row r="17" spans="2:21" ht="33" customHeight="1" x14ac:dyDescent="0.3"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</row>
    <row r="18" spans="2:21" ht="33" customHeight="1" x14ac:dyDescent="0.3">
      <c r="B18" s="16" t="s">
        <v>22</v>
      </c>
      <c r="C18" s="16" t="s">
        <v>23</v>
      </c>
      <c r="D18" s="16" t="s">
        <v>27</v>
      </c>
      <c r="E18" s="17">
        <v>14</v>
      </c>
      <c r="F18" s="16"/>
      <c r="G18" s="18"/>
      <c r="H18" s="16"/>
      <c r="I18" s="16"/>
      <c r="J18" s="16"/>
      <c r="K18" s="16"/>
      <c r="L18" s="16"/>
      <c r="M18" s="16"/>
      <c r="N18" s="16"/>
      <c r="O18" s="19"/>
      <c r="P18" s="19"/>
      <c r="Q18" s="19"/>
      <c r="R18" s="19"/>
      <c r="S18" s="20" t="s">
        <v>44</v>
      </c>
      <c r="T18" s="20" t="s">
        <v>44</v>
      </c>
      <c r="U18" s="21">
        <f>(F18*E18+O18*F18+P18*F18+Q18*F18+R18*F18)</f>
        <v>0</v>
      </c>
    </row>
    <row r="19" spans="2:21" ht="33" customHeight="1" x14ac:dyDescent="0.3">
      <c r="B19" s="16"/>
      <c r="C19" s="16"/>
      <c r="D19" s="16" t="s">
        <v>28</v>
      </c>
      <c r="E19" s="17">
        <v>14</v>
      </c>
      <c r="F19" s="16"/>
      <c r="G19" s="18"/>
      <c r="H19" s="16"/>
      <c r="I19" s="16"/>
      <c r="J19" s="16"/>
      <c r="K19" s="16"/>
      <c r="L19" s="16"/>
      <c r="M19" s="16"/>
      <c r="N19" s="16"/>
      <c r="O19" s="19"/>
      <c r="P19" s="19"/>
      <c r="Q19" s="19"/>
      <c r="R19" s="19"/>
      <c r="S19" s="20" t="s">
        <v>44</v>
      </c>
      <c r="T19" s="20" t="s">
        <v>44</v>
      </c>
      <c r="U19" s="21">
        <f>(F19*E19+O19*F19+P19*F19+Q19*F19+R19*F19)</f>
        <v>0</v>
      </c>
    </row>
    <row r="20" spans="2:21" ht="33" customHeight="1" x14ac:dyDescent="0.3"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2:21" ht="33" customHeight="1" x14ac:dyDescent="0.3">
      <c r="B21" s="16" t="s">
        <v>24</v>
      </c>
      <c r="C21" s="16" t="s">
        <v>25</v>
      </c>
      <c r="D21" s="16" t="s">
        <v>26</v>
      </c>
      <c r="E21" s="17">
        <v>17</v>
      </c>
      <c r="F21" s="16"/>
      <c r="G21" s="18"/>
      <c r="H21" s="16"/>
      <c r="I21" s="16"/>
      <c r="J21" s="16"/>
      <c r="K21" s="16"/>
      <c r="L21" s="16"/>
      <c r="M21" s="16"/>
      <c r="N21" s="16"/>
      <c r="O21" s="19"/>
      <c r="P21" s="19"/>
      <c r="Q21" s="19"/>
      <c r="R21" s="19"/>
      <c r="S21" s="20" t="s">
        <v>44</v>
      </c>
      <c r="T21" s="20" t="s">
        <v>44</v>
      </c>
      <c r="U21" s="21">
        <f>(F21*E21+O21*F21+P21*F21+Q21*F21+R21*F21)</f>
        <v>0</v>
      </c>
    </row>
    <row r="22" spans="2:21" ht="33" customHeight="1" x14ac:dyDescent="0.3"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2:21" ht="33" customHeight="1" x14ac:dyDescent="0.3">
      <c r="B23" s="16" t="s">
        <v>29</v>
      </c>
      <c r="C23" s="16" t="s">
        <v>19</v>
      </c>
      <c r="D23" s="16" t="s">
        <v>26</v>
      </c>
      <c r="E23" s="17">
        <v>17</v>
      </c>
      <c r="F23" s="16"/>
      <c r="G23" s="18"/>
      <c r="H23" s="16"/>
      <c r="I23" s="16"/>
      <c r="J23" s="16"/>
      <c r="K23" s="16"/>
      <c r="L23" s="16"/>
      <c r="M23" s="16"/>
      <c r="N23" s="16"/>
      <c r="O23" s="19"/>
      <c r="P23" s="19"/>
      <c r="Q23" s="19"/>
      <c r="R23" s="19"/>
      <c r="S23" s="19"/>
      <c r="T23" s="19"/>
      <c r="U23" s="21">
        <f t="shared" ref="U23:U27" si="0">(F23*E23+O23*F23+P23*F23+Q23*F23+R23*F23+S23*F23+T23*F23)</f>
        <v>0</v>
      </c>
    </row>
    <row r="24" spans="2:21" ht="33" customHeight="1" x14ac:dyDescent="0.3"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2:21" ht="33" customHeight="1" x14ac:dyDescent="0.3">
      <c r="B25" s="16" t="s">
        <v>30</v>
      </c>
      <c r="C25" s="16" t="s">
        <v>19</v>
      </c>
      <c r="D25" s="16" t="s">
        <v>26</v>
      </c>
      <c r="E25" s="17">
        <v>23</v>
      </c>
      <c r="F25" s="16"/>
      <c r="G25" s="18"/>
      <c r="H25" s="16"/>
      <c r="I25" s="16"/>
      <c r="J25" s="16"/>
      <c r="K25" s="16"/>
      <c r="L25" s="16"/>
      <c r="M25" s="16"/>
      <c r="N25" s="16"/>
      <c r="O25" s="19"/>
      <c r="P25" s="19"/>
      <c r="Q25" s="19"/>
      <c r="R25" s="19"/>
      <c r="S25" s="19"/>
      <c r="T25" s="19"/>
      <c r="U25" s="21">
        <f t="shared" si="0"/>
        <v>0</v>
      </c>
    </row>
    <row r="26" spans="2:21" ht="33" customHeight="1" x14ac:dyDescent="0.3"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2:21" ht="33" customHeight="1" x14ac:dyDescent="0.3">
      <c r="B27" s="16" t="s">
        <v>31</v>
      </c>
      <c r="C27" s="16" t="s">
        <v>19</v>
      </c>
      <c r="D27" s="16" t="s">
        <v>26</v>
      </c>
      <c r="E27" s="17">
        <v>28</v>
      </c>
      <c r="F27" s="16"/>
      <c r="G27" s="18"/>
      <c r="H27" s="16"/>
      <c r="I27" s="16"/>
      <c r="J27" s="16"/>
      <c r="K27" s="16"/>
      <c r="L27" s="16"/>
      <c r="M27" s="16"/>
      <c r="N27" s="16"/>
      <c r="O27" s="19"/>
      <c r="P27" s="19"/>
      <c r="Q27" s="19"/>
      <c r="R27" s="19"/>
      <c r="S27" s="19"/>
      <c r="T27" s="19"/>
      <c r="U27" s="21">
        <f t="shared" si="0"/>
        <v>0</v>
      </c>
    </row>
    <row r="28" spans="2:21" ht="33" customHeight="1" x14ac:dyDescent="0.3"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29" spans="2:21" ht="33" customHeight="1" x14ac:dyDescent="0.3">
      <c r="B29" s="16" t="s">
        <v>32</v>
      </c>
      <c r="C29" s="16" t="s">
        <v>19</v>
      </c>
      <c r="D29" s="16" t="s">
        <v>26</v>
      </c>
      <c r="E29" s="17">
        <v>38</v>
      </c>
      <c r="F29" s="16"/>
      <c r="G29" s="18"/>
      <c r="H29" s="16"/>
      <c r="I29" s="16"/>
      <c r="J29" s="16"/>
      <c r="K29" s="16"/>
      <c r="L29" s="16"/>
      <c r="M29" s="16"/>
      <c r="N29" s="16"/>
      <c r="O29" s="20" t="s">
        <v>44</v>
      </c>
      <c r="P29" s="19"/>
      <c r="Q29" s="19"/>
      <c r="R29" s="19"/>
      <c r="S29" s="19"/>
      <c r="T29" s="19"/>
      <c r="U29" s="21">
        <f>(F29*E29+P29*F29+Q29*F29+R29*F29+S29*F29+T29*F29)</f>
        <v>0</v>
      </c>
    </row>
    <row r="30" spans="2:21" ht="33" customHeight="1" x14ac:dyDescent="0.3"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</row>
    <row r="31" spans="2:21" ht="33" customHeight="1" x14ac:dyDescent="0.3">
      <c r="B31" s="16" t="s">
        <v>33</v>
      </c>
      <c r="C31" s="16" t="s">
        <v>34</v>
      </c>
      <c r="D31" s="16" t="s">
        <v>26</v>
      </c>
      <c r="E31" s="17">
        <v>10</v>
      </c>
      <c r="F31" s="16"/>
      <c r="G31" s="18"/>
      <c r="H31" s="16"/>
      <c r="I31" s="16"/>
      <c r="J31" s="16"/>
      <c r="K31" s="16"/>
      <c r="L31" s="16"/>
      <c r="M31" s="16"/>
      <c r="N31" s="16"/>
      <c r="O31" s="19"/>
      <c r="P31" s="20" t="s">
        <v>44</v>
      </c>
      <c r="Q31" s="20" t="s">
        <v>44</v>
      </c>
      <c r="R31" s="20" t="s">
        <v>44</v>
      </c>
      <c r="S31" s="20" t="s">
        <v>44</v>
      </c>
      <c r="T31" s="20" t="s">
        <v>44</v>
      </c>
      <c r="U31" s="21">
        <f>(F31*E31+O31*F31)</f>
        <v>0</v>
      </c>
    </row>
    <row r="32" spans="2:21" ht="33" customHeight="1" x14ac:dyDescent="0.3"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</row>
    <row r="33" spans="2:21" ht="33" customHeight="1" x14ac:dyDescent="0.3">
      <c r="B33" s="16" t="s">
        <v>35</v>
      </c>
      <c r="C33" s="16" t="s">
        <v>36</v>
      </c>
      <c r="D33" s="16" t="s">
        <v>26</v>
      </c>
      <c r="E33" s="17">
        <v>17</v>
      </c>
      <c r="F33" s="16"/>
      <c r="G33" s="18"/>
      <c r="H33" s="16"/>
      <c r="I33" s="16"/>
      <c r="J33" s="16"/>
      <c r="K33" s="16"/>
      <c r="L33" s="16"/>
      <c r="M33" s="16"/>
      <c r="N33" s="16"/>
      <c r="O33" s="19"/>
      <c r="P33" s="20" t="s">
        <v>44</v>
      </c>
      <c r="Q33" s="20" t="s">
        <v>44</v>
      </c>
      <c r="R33" s="20" t="s">
        <v>44</v>
      </c>
      <c r="S33" s="20" t="s">
        <v>44</v>
      </c>
      <c r="T33" s="20" t="s">
        <v>44</v>
      </c>
      <c r="U33" s="21">
        <f>(F33*E33+O33*F33)</f>
        <v>0</v>
      </c>
    </row>
    <row r="34" spans="2:21" ht="33" customHeight="1" x14ac:dyDescent="0.3"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</row>
    <row r="35" spans="2:21" ht="33" customHeight="1" x14ac:dyDescent="0.3">
      <c r="B35" s="16" t="s">
        <v>37</v>
      </c>
      <c r="C35" s="16" t="s">
        <v>36</v>
      </c>
      <c r="D35" s="16" t="s">
        <v>26</v>
      </c>
      <c r="E35" s="17">
        <v>10</v>
      </c>
      <c r="F35" s="16"/>
      <c r="G35" s="18"/>
      <c r="H35" s="16"/>
      <c r="I35" s="16"/>
      <c r="J35" s="16"/>
      <c r="K35" s="16"/>
      <c r="L35" s="16"/>
      <c r="M35" s="16"/>
      <c r="N35" s="16"/>
      <c r="O35" s="19"/>
      <c r="P35" s="19"/>
      <c r="Q35" s="20" t="s">
        <v>44</v>
      </c>
      <c r="R35" s="20" t="s">
        <v>44</v>
      </c>
      <c r="S35" s="20" t="s">
        <v>44</v>
      </c>
      <c r="T35" s="20" t="s">
        <v>44</v>
      </c>
      <c r="U35" s="21">
        <f>(F35*E35+O35*F35+P35*F35)</f>
        <v>0</v>
      </c>
    </row>
    <row r="36" spans="2:21" ht="33" customHeight="1" x14ac:dyDescent="0.3"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5"/>
    </row>
    <row r="37" spans="2:21" ht="33" customHeight="1" x14ac:dyDescent="0.3">
      <c r="B37" s="24"/>
      <c r="C37" s="24"/>
      <c r="D37" s="24"/>
      <c r="E37" s="26" t="s">
        <v>0</v>
      </c>
      <c r="F37" s="26">
        <f>SUM(F12:F35)</f>
        <v>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16" t="s">
        <v>40</v>
      </c>
      <c r="U37" s="23">
        <f>IF(F37=1, 15, IF(AND(F37&gt;=2, F37&lt;10), 10, IF(F37&gt;=10, 0, 0)))</f>
        <v>0</v>
      </c>
    </row>
    <row r="38" spans="2:21" ht="33" customHeight="1" x14ac:dyDescent="0.3"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5"/>
    </row>
    <row r="39" spans="2:21" ht="33" customHeight="1" x14ac:dyDescent="0.3"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6" t="s">
        <v>15</v>
      </c>
      <c r="U39" s="27">
        <f>SUM(U12:U37)</f>
        <v>0</v>
      </c>
    </row>
    <row r="40" spans="2:21" ht="33" customHeight="1" x14ac:dyDescent="0.3">
      <c r="U40" s="1"/>
    </row>
    <row r="41" spans="2:21" ht="33" customHeight="1" x14ac:dyDescent="0.3">
      <c r="U41" s="1"/>
    </row>
    <row r="43" spans="2:21" ht="33" customHeight="1" x14ac:dyDescent="0.3">
      <c r="Q43" s="5" t="s">
        <v>54</v>
      </c>
      <c r="R43" s="6"/>
      <c r="S43" s="6"/>
      <c r="T43" s="6"/>
      <c r="U43" s="6"/>
    </row>
    <row r="44" spans="2:21" ht="33" customHeight="1" x14ac:dyDescent="0.3">
      <c r="Q44" s="6"/>
      <c r="R44" s="6"/>
      <c r="S44" s="6"/>
      <c r="T44" s="6"/>
      <c r="U44" s="6"/>
    </row>
    <row r="45" spans="2:21" ht="33" customHeight="1" x14ac:dyDescent="0.3">
      <c r="Q45" s="6"/>
      <c r="R45" s="6"/>
      <c r="S45" s="6"/>
      <c r="T45" s="6"/>
      <c r="U45" s="6"/>
    </row>
  </sheetData>
  <mergeCells count="28">
    <mergeCell ref="P3:S3"/>
    <mergeCell ref="B34:U34"/>
    <mergeCell ref="I3:J3"/>
    <mergeCell ref="I4:J4"/>
    <mergeCell ref="I5:J5"/>
    <mergeCell ref="I6:J6"/>
    <mergeCell ref="I7:J7"/>
    <mergeCell ref="K3:N3"/>
    <mergeCell ref="B22:U22"/>
    <mergeCell ref="B24:U24"/>
    <mergeCell ref="B26:U26"/>
    <mergeCell ref="B28:U28"/>
    <mergeCell ref="B30:U30"/>
    <mergeCell ref="B32:U32"/>
    <mergeCell ref="B10:G10"/>
    <mergeCell ref="H10:N10"/>
    <mergeCell ref="Q4:S4"/>
    <mergeCell ref="Q5:S5"/>
    <mergeCell ref="Q6:S6"/>
    <mergeCell ref="Q43:U45"/>
    <mergeCell ref="K4:N4"/>
    <mergeCell ref="K5:N5"/>
    <mergeCell ref="K6:N6"/>
    <mergeCell ref="K7:N7"/>
    <mergeCell ref="O10:T10"/>
    <mergeCell ref="B14:U14"/>
    <mergeCell ref="B17:U17"/>
    <mergeCell ref="B20:U2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792559A-A0D0-467A-9B03-7AB41E013D2E}">
          <x14:formula1>
            <xm:f>Feuil2!$A$4:$A$5</xm:f>
          </x14:formula1>
          <xm:sqref>O12:P13 P29 O18:P19 O15:P16 O23:P23 O21:P21 O25:P25 O33 O27:P27 O35:P35</xm:sqref>
        </x14:dataValidation>
        <x14:dataValidation type="list" allowBlank="1" showInputMessage="1" showErrorMessage="1" xr:uid="{167FB244-7AC9-45F9-9901-6E6B7E5BCD85}">
          <x14:formula1>
            <xm:f>Feuil2!$C$4:$C$5</xm:f>
          </x14:formula1>
          <xm:sqref>O31 S23:T23 S25:T25 S27:T27 S29:T29</xm:sqref>
        </x14:dataValidation>
        <x14:dataValidation type="list" allowBlank="1" showInputMessage="1" showErrorMessage="1" xr:uid="{6E64A8D8-1348-4C16-9953-747546CD576F}">
          <x14:formula1>
            <xm:f>Feuil2!$E$4:$E$5</xm:f>
          </x14:formula1>
          <xm:sqref>Q29:R29 Q27:R27 Q25:R25 Q23:R23 Q21:R21 Q18:R19 Q15:R16 Q12:R13</xm:sqref>
        </x14:dataValidation>
        <x14:dataValidation type="list" allowBlank="1" showInputMessage="1" showErrorMessage="1" xr:uid="{9DFBF1DA-6A4E-4F7E-AFAA-271FF9EA4A9E}">
          <x14:formula1>
            <xm:f>Feuil2!$G$4:$G$40</xm:f>
          </x14:formula1>
          <xm:sqref>G12 G13 G15 G16 G23 G25 G27 G29</xm:sqref>
        </x14:dataValidation>
        <x14:dataValidation type="list" allowBlank="1" showInputMessage="1" showErrorMessage="1" xr:uid="{CFC86AAD-78EB-47CA-9629-942D4DEC5165}">
          <x14:formula1>
            <xm:f>Feuil2!$P$4:$P$9</xm:f>
          </x14:formula1>
          <xm:sqref>G31</xm:sqref>
        </x14:dataValidation>
        <x14:dataValidation type="list" allowBlank="1" showInputMessage="1" showErrorMessage="1" xr:uid="{EDF37580-2629-4B0B-8B59-E17938EDE8B8}">
          <x14:formula1>
            <xm:f>Feuil2!$V$4:$V$5</xm:f>
          </x14:formula1>
          <xm:sqref>G33</xm:sqref>
        </x14:dataValidation>
        <x14:dataValidation type="list" allowBlank="1" showInputMessage="1" showErrorMessage="1" xr:uid="{32754321-1FFB-402C-9DA1-D4EE563A14D6}">
          <x14:formula1>
            <xm:f>Feuil2!$S$4:$S$9</xm:f>
          </x14:formula1>
          <xm:sqref>G35</xm:sqref>
        </x14:dataValidation>
        <x14:dataValidation type="list" allowBlank="1" showInputMessage="1" showErrorMessage="1" xr:uid="{EB944E97-5BA7-43C1-8D95-2A0595B257D7}">
          <x14:formula1>
            <xm:f>Feuil2!$J$4:$J$20</xm:f>
          </x14:formula1>
          <xm:sqref>G18 G19</xm:sqref>
        </x14:dataValidation>
        <x14:dataValidation type="list" allowBlank="1" showInputMessage="1" showErrorMessage="1" xr:uid="{42286019-63C8-441A-80AB-EAD75DA92B72}">
          <x14:formula1>
            <xm:f>Feuil2!$M$4:$M$9</xm:f>
          </x14:formula1>
          <xm:sqref>G21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5311-0F50-46D7-9C6E-F51354B87374}">
  <sheetPr codeName="Feuil2"/>
  <dimension ref="A2:W63"/>
  <sheetViews>
    <sheetView topLeftCell="D1" workbookViewId="0">
      <selection activeCell="S4" sqref="S4:T9"/>
    </sheetView>
  </sheetViews>
  <sheetFormatPr baseColWidth="10" defaultRowHeight="14.4" x14ac:dyDescent="0.3"/>
  <cols>
    <col min="7" max="7" width="25.88671875" customWidth="1"/>
    <col min="10" max="10" width="20.44140625" customWidth="1"/>
  </cols>
  <sheetData>
    <row r="2" spans="1:23" x14ac:dyDescent="0.3">
      <c r="G2" t="s">
        <v>153</v>
      </c>
      <c r="J2" t="s">
        <v>154</v>
      </c>
      <c r="M2" t="s">
        <v>171</v>
      </c>
      <c r="P2" t="s">
        <v>33</v>
      </c>
      <c r="S2" t="s">
        <v>162</v>
      </c>
      <c r="V2" t="s">
        <v>35</v>
      </c>
    </row>
    <row r="4" spans="1:23" x14ac:dyDescent="0.3">
      <c r="A4">
        <v>5</v>
      </c>
      <c r="C4">
        <v>2.5</v>
      </c>
      <c r="E4">
        <v>1.5</v>
      </c>
      <c r="G4" s="4" t="s">
        <v>55</v>
      </c>
      <c r="H4" t="s">
        <v>56</v>
      </c>
      <c r="J4" s="4" t="s">
        <v>102</v>
      </c>
      <c r="K4" t="s">
        <v>103</v>
      </c>
      <c r="M4" s="4" t="s">
        <v>60</v>
      </c>
      <c r="N4" t="s">
        <v>104</v>
      </c>
      <c r="P4" s="4" t="s">
        <v>60</v>
      </c>
      <c r="Q4" t="s">
        <v>104</v>
      </c>
      <c r="S4" s="4" t="s">
        <v>163</v>
      </c>
      <c r="T4" t="s">
        <v>164</v>
      </c>
      <c r="V4" s="4" t="s">
        <v>90</v>
      </c>
      <c r="W4" t="s">
        <v>167</v>
      </c>
    </row>
    <row r="5" spans="1:23" x14ac:dyDescent="0.3">
      <c r="A5">
        <v>0</v>
      </c>
      <c r="C5">
        <v>0</v>
      </c>
      <c r="E5">
        <v>0</v>
      </c>
      <c r="G5" s="4" t="s">
        <v>57</v>
      </c>
      <c r="H5" t="s">
        <v>58</v>
      </c>
      <c r="J5" s="4" t="s">
        <v>60</v>
      </c>
      <c r="K5" t="s">
        <v>104</v>
      </c>
      <c r="M5" s="4" t="s">
        <v>100</v>
      </c>
      <c r="N5" t="s">
        <v>101</v>
      </c>
      <c r="P5" s="4" t="s">
        <v>85</v>
      </c>
      <c r="Q5" t="s">
        <v>86</v>
      </c>
      <c r="S5" s="4" t="s">
        <v>91</v>
      </c>
      <c r="T5" t="s">
        <v>92</v>
      </c>
      <c r="V5" s="4" t="s">
        <v>170</v>
      </c>
      <c r="W5" t="s">
        <v>104</v>
      </c>
    </row>
    <row r="6" spans="1:23" x14ac:dyDescent="0.3">
      <c r="G6" s="4" t="s">
        <v>128</v>
      </c>
      <c r="H6" t="s">
        <v>59</v>
      </c>
      <c r="J6" s="4" t="s">
        <v>105</v>
      </c>
      <c r="K6" t="s">
        <v>106</v>
      </c>
      <c r="M6" s="4" t="s">
        <v>65</v>
      </c>
      <c r="N6" t="s">
        <v>66</v>
      </c>
      <c r="P6" s="4" t="s">
        <v>155</v>
      </c>
      <c r="Q6" t="s">
        <v>156</v>
      </c>
      <c r="S6" s="4" t="s">
        <v>165</v>
      </c>
      <c r="T6" t="s">
        <v>166</v>
      </c>
    </row>
    <row r="7" spans="1:23" x14ac:dyDescent="0.3">
      <c r="G7" s="4" t="s">
        <v>60</v>
      </c>
      <c r="H7" t="s">
        <v>104</v>
      </c>
      <c r="J7" s="4" t="s">
        <v>133</v>
      </c>
      <c r="K7" t="s">
        <v>107</v>
      </c>
      <c r="M7" s="4" t="s">
        <v>172</v>
      </c>
      <c r="N7" t="s">
        <v>173</v>
      </c>
      <c r="P7" s="4" t="s">
        <v>127</v>
      </c>
      <c r="Q7" t="s">
        <v>157</v>
      </c>
      <c r="S7" s="4" t="s">
        <v>90</v>
      </c>
      <c r="T7" t="s">
        <v>167</v>
      </c>
    </row>
    <row r="8" spans="1:23" x14ac:dyDescent="0.3">
      <c r="G8" s="4" t="s">
        <v>61</v>
      </c>
      <c r="H8" t="s">
        <v>62</v>
      </c>
      <c r="J8" s="4" t="s">
        <v>108</v>
      </c>
      <c r="K8" t="s">
        <v>99</v>
      </c>
      <c r="M8" s="4" t="s">
        <v>174</v>
      </c>
      <c r="N8" t="s">
        <v>175</v>
      </c>
      <c r="P8" s="4" t="s">
        <v>158</v>
      </c>
      <c r="Q8" t="s">
        <v>159</v>
      </c>
      <c r="S8" s="4" t="s">
        <v>168</v>
      </c>
      <c r="T8" t="s">
        <v>169</v>
      </c>
    </row>
    <row r="9" spans="1:23" x14ac:dyDescent="0.3">
      <c r="G9" s="4" t="s">
        <v>63</v>
      </c>
      <c r="H9" t="s">
        <v>64</v>
      </c>
      <c r="J9" s="4" t="s">
        <v>109</v>
      </c>
      <c r="K9" t="s">
        <v>110</v>
      </c>
      <c r="M9" s="4" t="s">
        <v>176</v>
      </c>
      <c r="N9" t="s">
        <v>177</v>
      </c>
      <c r="P9" s="4" t="s">
        <v>160</v>
      </c>
      <c r="Q9" t="s">
        <v>161</v>
      </c>
      <c r="S9" s="4" t="s">
        <v>170</v>
      </c>
      <c r="T9" t="s">
        <v>104</v>
      </c>
    </row>
    <row r="10" spans="1:23" x14ac:dyDescent="0.3">
      <c r="G10" s="4" t="s">
        <v>65</v>
      </c>
      <c r="H10" t="s">
        <v>66</v>
      </c>
      <c r="J10" s="4" t="s">
        <v>111</v>
      </c>
      <c r="K10" t="s">
        <v>112</v>
      </c>
    </row>
    <row r="11" spans="1:23" x14ac:dyDescent="0.3">
      <c r="G11" s="4" t="s">
        <v>129</v>
      </c>
      <c r="H11" t="s">
        <v>130</v>
      </c>
      <c r="J11" s="4" t="s">
        <v>113</v>
      </c>
      <c r="K11" t="s">
        <v>114</v>
      </c>
    </row>
    <row r="12" spans="1:23" x14ac:dyDescent="0.3">
      <c r="G12" s="8" t="s">
        <v>67</v>
      </c>
      <c r="H12" t="s">
        <v>68</v>
      </c>
      <c r="J12" s="4" t="s">
        <v>115</v>
      </c>
      <c r="K12" t="s">
        <v>116</v>
      </c>
    </row>
    <row r="13" spans="1:23" x14ac:dyDescent="0.3">
      <c r="G13" s="9" t="s">
        <v>69</v>
      </c>
      <c r="H13" t="s">
        <v>70</v>
      </c>
      <c r="J13" s="4" t="s">
        <v>117</v>
      </c>
      <c r="K13" t="s">
        <v>118</v>
      </c>
    </row>
    <row r="14" spans="1:23" x14ac:dyDescent="0.3">
      <c r="G14" s="4" t="s">
        <v>71</v>
      </c>
      <c r="H14" t="s">
        <v>72</v>
      </c>
      <c r="J14" s="4" t="s">
        <v>119</v>
      </c>
      <c r="K14" t="s">
        <v>120</v>
      </c>
    </row>
    <row r="15" spans="1:23" x14ac:dyDescent="0.3">
      <c r="G15" s="10" t="s">
        <v>131</v>
      </c>
      <c r="H15" t="s">
        <v>132</v>
      </c>
      <c r="J15" s="4" t="s">
        <v>121</v>
      </c>
      <c r="K15" t="s">
        <v>122</v>
      </c>
    </row>
    <row r="16" spans="1:23" x14ac:dyDescent="0.3">
      <c r="G16" s="11" t="s">
        <v>133</v>
      </c>
      <c r="H16" t="s">
        <v>107</v>
      </c>
      <c r="J16" s="4" t="s">
        <v>123</v>
      </c>
      <c r="K16" t="s">
        <v>124</v>
      </c>
    </row>
    <row r="17" spans="7:11" x14ac:dyDescent="0.3">
      <c r="G17" s="4" t="s">
        <v>73</v>
      </c>
      <c r="H17" t="s">
        <v>134</v>
      </c>
      <c r="J17" s="4" t="s">
        <v>125</v>
      </c>
      <c r="K17" t="s">
        <v>126</v>
      </c>
    </row>
    <row r="18" spans="7:11" x14ac:dyDescent="0.3">
      <c r="G18" s="4" t="s">
        <v>135</v>
      </c>
      <c r="H18" t="s">
        <v>136</v>
      </c>
      <c r="J18" s="4" t="s">
        <v>127</v>
      </c>
      <c r="K18" t="s">
        <v>157</v>
      </c>
    </row>
    <row r="19" spans="7:11" x14ac:dyDescent="0.3">
      <c r="G19" s="4" t="s">
        <v>137</v>
      </c>
      <c r="H19" t="s">
        <v>74</v>
      </c>
      <c r="J19" s="4" t="s">
        <v>91</v>
      </c>
      <c r="K19" t="s">
        <v>92</v>
      </c>
    </row>
    <row r="20" spans="7:11" x14ac:dyDescent="0.3">
      <c r="G20" s="4" t="s">
        <v>138</v>
      </c>
      <c r="H20" t="s">
        <v>139</v>
      </c>
      <c r="J20" s="4" t="s">
        <v>100</v>
      </c>
      <c r="K20" t="s">
        <v>101</v>
      </c>
    </row>
    <row r="21" spans="7:11" x14ac:dyDescent="0.3">
      <c r="G21" s="4" t="s">
        <v>140</v>
      </c>
      <c r="H21" t="s">
        <v>141</v>
      </c>
    </row>
    <row r="22" spans="7:11" x14ac:dyDescent="0.3">
      <c r="G22" s="4" t="s">
        <v>142</v>
      </c>
      <c r="H22" t="s">
        <v>143</v>
      </c>
    </row>
    <row r="23" spans="7:11" x14ac:dyDescent="0.3">
      <c r="G23" s="12" t="s">
        <v>144</v>
      </c>
      <c r="H23" t="s">
        <v>145</v>
      </c>
    </row>
    <row r="24" spans="7:11" x14ac:dyDescent="0.3">
      <c r="G24" s="4" t="s">
        <v>75</v>
      </c>
      <c r="H24" t="s">
        <v>146</v>
      </c>
    </row>
    <row r="25" spans="7:11" x14ac:dyDescent="0.3">
      <c r="G25" s="13" t="s">
        <v>76</v>
      </c>
      <c r="H25" t="s">
        <v>77</v>
      </c>
    </row>
    <row r="26" spans="7:11" x14ac:dyDescent="0.3">
      <c r="G26" s="4" t="s">
        <v>78</v>
      </c>
      <c r="H26" t="s">
        <v>147</v>
      </c>
    </row>
    <row r="27" spans="7:11" x14ac:dyDescent="0.3">
      <c r="G27" s="14" t="s">
        <v>79</v>
      </c>
      <c r="H27" t="s">
        <v>80</v>
      </c>
    </row>
    <row r="28" spans="7:11" x14ac:dyDescent="0.3">
      <c r="G28" s="4" t="s">
        <v>81</v>
      </c>
      <c r="H28" t="s">
        <v>82</v>
      </c>
    </row>
    <row r="29" spans="7:11" x14ac:dyDescent="0.3">
      <c r="G29" s="15" t="s">
        <v>83</v>
      </c>
      <c r="H29" t="s">
        <v>84</v>
      </c>
    </row>
    <row r="30" spans="7:11" x14ac:dyDescent="0.3">
      <c r="G30" s="4" t="s">
        <v>85</v>
      </c>
      <c r="H30" t="s">
        <v>86</v>
      </c>
    </row>
    <row r="31" spans="7:11" x14ac:dyDescent="0.3">
      <c r="G31" s="4" t="s">
        <v>87</v>
      </c>
      <c r="H31" t="s">
        <v>88</v>
      </c>
    </row>
    <row r="32" spans="7:11" x14ac:dyDescent="0.3">
      <c r="G32" s="4" t="s">
        <v>89</v>
      </c>
      <c r="H32" t="s">
        <v>148</v>
      </c>
    </row>
    <row r="33" spans="7:8" x14ac:dyDescent="0.3">
      <c r="G33" s="4" t="s">
        <v>90</v>
      </c>
      <c r="H33" t="s">
        <v>167</v>
      </c>
    </row>
    <row r="34" spans="7:8" x14ac:dyDescent="0.3">
      <c r="G34" s="4" t="s">
        <v>91</v>
      </c>
      <c r="H34" t="s">
        <v>92</v>
      </c>
    </row>
    <row r="35" spans="7:8" x14ac:dyDescent="0.3">
      <c r="G35" s="4" t="s">
        <v>149</v>
      </c>
      <c r="H35" t="s">
        <v>150</v>
      </c>
    </row>
    <row r="36" spans="7:8" x14ac:dyDescent="0.3">
      <c r="G36" s="4" t="s">
        <v>151</v>
      </c>
      <c r="H36" t="s">
        <v>152</v>
      </c>
    </row>
    <row r="37" spans="7:8" x14ac:dyDescent="0.3">
      <c r="G37" s="4" t="s">
        <v>93</v>
      </c>
      <c r="H37" t="s">
        <v>94</v>
      </c>
    </row>
    <row r="38" spans="7:8" x14ac:dyDescent="0.3">
      <c r="G38" s="4" t="s">
        <v>95</v>
      </c>
      <c r="H38" t="s">
        <v>96</v>
      </c>
    </row>
    <row r="39" spans="7:8" x14ac:dyDescent="0.3">
      <c r="G39" s="4" t="s">
        <v>97</v>
      </c>
      <c r="H39" t="s">
        <v>98</v>
      </c>
    </row>
    <row r="40" spans="7:8" x14ac:dyDescent="0.3">
      <c r="G40" s="4" t="s">
        <v>100</v>
      </c>
      <c r="H40" t="s">
        <v>101</v>
      </c>
    </row>
    <row r="41" spans="7:8" x14ac:dyDescent="0.3">
      <c r="G41" s="4"/>
    </row>
    <row r="42" spans="7:8" x14ac:dyDescent="0.3">
      <c r="G42" s="4"/>
    </row>
    <row r="43" spans="7:8" x14ac:dyDescent="0.3">
      <c r="G43" s="4"/>
    </row>
    <row r="44" spans="7:8" x14ac:dyDescent="0.3">
      <c r="G44" s="4"/>
    </row>
    <row r="45" spans="7:8" x14ac:dyDescent="0.3">
      <c r="G45" s="4"/>
    </row>
    <row r="46" spans="7:8" x14ac:dyDescent="0.3">
      <c r="G46" s="4"/>
    </row>
    <row r="47" spans="7:8" x14ac:dyDescent="0.3">
      <c r="G47" s="4"/>
    </row>
    <row r="48" spans="7:8" x14ac:dyDescent="0.3">
      <c r="G48" s="4"/>
    </row>
    <row r="49" spans="7:7" x14ac:dyDescent="0.3">
      <c r="G49" s="4"/>
    </row>
    <row r="50" spans="7:7" x14ac:dyDescent="0.3">
      <c r="G50" s="4"/>
    </row>
    <row r="51" spans="7:7" x14ac:dyDescent="0.3">
      <c r="G51" s="4"/>
    </row>
    <row r="52" spans="7:7" x14ac:dyDescent="0.3">
      <c r="G52" s="4"/>
    </row>
    <row r="53" spans="7:7" x14ac:dyDescent="0.3">
      <c r="G53" s="4"/>
    </row>
    <row r="54" spans="7:7" x14ac:dyDescent="0.3">
      <c r="G54" s="4"/>
    </row>
    <row r="55" spans="7:7" x14ac:dyDescent="0.3">
      <c r="G55" s="4"/>
    </row>
    <row r="56" spans="7:7" x14ac:dyDescent="0.3">
      <c r="G56" s="4"/>
    </row>
    <row r="57" spans="7:7" x14ac:dyDescent="0.3">
      <c r="G57" s="4"/>
    </row>
    <row r="58" spans="7:7" x14ac:dyDescent="0.3">
      <c r="G58" s="4"/>
    </row>
    <row r="59" spans="7:7" x14ac:dyDescent="0.3">
      <c r="G59" s="4"/>
    </row>
    <row r="60" spans="7:7" x14ac:dyDescent="0.3">
      <c r="G60" s="4"/>
    </row>
    <row r="61" spans="7:7" x14ac:dyDescent="0.3">
      <c r="G61" s="4"/>
    </row>
    <row r="62" spans="7:7" x14ac:dyDescent="0.3">
      <c r="G62" s="4"/>
    </row>
    <row r="63" spans="7:7" x14ac:dyDescent="0.3">
      <c r="G63" s="4"/>
    </row>
  </sheetData>
  <conditionalFormatting sqref="G4:W40">
    <cfRule type="duplicateValues" dxfId="2" priority="4"/>
  </conditionalFormatting>
  <conditionalFormatting sqref="H30">
    <cfRule type="duplicateValues" dxfId="1" priority="1"/>
  </conditionalFormatting>
  <conditionalFormatting sqref="K13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Formulaire de commande</vt:lpstr>
      <vt:lpstr>Feuil2</vt:lpstr>
    </vt:vector>
  </TitlesOfParts>
  <Company>GTD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Charles-Antoine Thériault</dc:creator>
  <cp:lastModifiedBy>Charles-Antoine Thériault</cp:lastModifiedBy>
  <dcterms:created xsi:type="dcterms:W3CDTF">2025-02-17T23:25:24Z</dcterms:created>
  <dcterms:modified xsi:type="dcterms:W3CDTF">2025-02-25T15:35:50Z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9694e0f-943f-4e6f-bf55-6e34fbc91307_Enabled">
    <vt:lpwstr>true</vt:lpwstr>
  </property>
  <property fmtid="{D5CDD505-2E9C-101B-9397-08002B2CF9AE}" pid="3" name="MSIP_Label_a9694e0f-943f-4e6f-bf55-6e34fbc91307_SetDate">
    <vt:lpwstr>2025-02-17T23:28:40Z</vt:lpwstr>
  </property>
  <property fmtid="{D5CDD505-2E9C-101B-9397-08002B2CF9AE}" pid="4" name="MSIP_Label_a9694e0f-943f-4e6f-bf55-6e34fbc91307_Method">
    <vt:lpwstr>Standard</vt:lpwstr>
  </property>
  <property fmtid="{D5CDD505-2E9C-101B-9397-08002B2CF9AE}" pid="5" name="MSIP_Label_a9694e0f-943f-4e6f-bf55-6e34fbc91307_Name">
    <vt:lpwstr>Usage interne</vt:lpwstr>
  </property>
  <property fmtid="{D5CDD505-2E9C-101B-9397-08002B2CF9AE}" pid="6" name="MSIP_Label_a9694e0f-943f-4e6f-bf55-6e34fbc91307_SiteId">
    <vt:lpwstr>728d20a5-0b44-47dd-9470-20f37cbf2d9a</vt:lpwstr>
  </property>
  <property fmtid="{D5CDD505-2E9C-101B-9397-08002B2CF9AE}" pid="7" name="MSIP_Label_a9694e0f-943f-4e6f-bf55-6e34fbc91307_ActionId">
    <vt:lpwstr>63ec1812-1a7f-4ebd-8070-39574d415f8c</vt:lpwstr>
  </property>
  <property fmtid="{D5CDD505-2E9C-101B-9397-08002B2CF9AE}" pid="8" name="MSIP_Label_a9694e0f-943f-4e6f-bf55-6e34fbc91307_ContentBits">
    <vt:lpwstr>0</vt:lpwstr>
  </property>
</Properties>
</file>